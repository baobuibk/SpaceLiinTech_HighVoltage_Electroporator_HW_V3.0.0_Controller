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209B3\SpaceLiinTech_Eletroporator\DuAn_HighVoltage_Controller_V3\03_BOM\"/>
    </mc:Choice>
  </mc:AlternateContent>
  <bookViews>
    <workbookView xWindow="0" yWindow="0" windowWidth="16185" windowHeight="8235"/>
  </bookViews>
  <sheets>
    <sheet name="DuAn_HighVoltage_V3.1" sheetId="1" r:id="rId1"/>
  </sheets>
  <definedNames>
    <definedName name="_xlnm.Print_Titles" localSheetId="0">DuAn_HighVoltage_V3.1!$2:$2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7" i="1"/>
  <c r="A76" i="1"/>
  <c r="A75" i="1"/>
  <c r="A72" i="1"/>
  <c r="A73" i="1"/>
  <c r="A74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</calcChain>
</file>

<file path=xl/sharedStrings.xml><?xml version="1.0" encoding="utf-8"?>
<sst xmlns="http://schemas.openxmlformats.org/spreadsheetml/2006/main" count="453" uniqueCount="359">
  <si>
    <t>Line #</t>
  </si>
  <si>
    <t>Name</t>
  </si>
  <si>
    <t>Description</t>
  </si>
  <si>
    <t>Designator</t>
  </si>
  <si>
    <t>Footprint</t>
  </si>
  <si>
    <t>Manufacturer</t>
  </si>
  <si>
    <t>Quantity</t>
  </si>
  <si>
    <t/>
  </si>
  <si>
    <t>10uF/25V</t>
  </si>
  <si>
    <t>CAP CER 10UF 25V X5R 0603</t>
  </si>
  <si>
    <t>C1A, C1B, C3A, C3B, C5A, C5B, C7A, C7B, C25, C28, C32, C34, C50, C51, C53, C56, C58, C62, C64, C112, C114, C116, C121</t>
  </si>
  <si>
    <t>CN-SMD-0603</t>
  </si>
  <si>
    <t>CL10A106MA8NRNC</t>
  </si>
  <si>
    <t>100nF/25V</t>
  </si>
  <si>
    <t>CAP CER 0.1UF 25V X7R 0603</t>
  </si>
  <si>
    <t>C2A, C2B, C4A, C4B, C6A, C6B, C8A, C8B, C26, C29, C30, C33, C35, C52, C54, C57, C59, C63, C65, C66A, C66B, C67, C68, C69, C70, C71, C72, C73, C74A, C74B, C75A, C75B, C76, C77, C78, C81, C82, C83, C84, C85, C86, C87, C88, C89, C90, C105, C106, C107, C108, C109, C110, C111, C113, C115, C117, C118, C120, C122, C123, C124, C125, C126, C127, C128, C129, C130, C133, C134, C140, C141, C144, C145</t>
  </si>
  <si>
    <t>CL10B104KA8NNNC</t>
  </si>
  <si>
    <t>33pF/16V</t>
  </si>
  <si>
    <t>CAP CER 33PF 16V X7R 0603</t>
  </si>
  <si>
    <t>C9A, C9B, C11A, C11B, C12A, C12B</t>
  </si>
  <si>
    <t>C0603C330K4RACTU</t>
  </si>
  <si>
    <t>0.01u/630V/10%</t>
  </si>
  <si>
    <t>CN-SMD-1206</t>
  </si>
  <si>
    <t>CAP CER 10000PF 630V X7R 1206</t>
  </si>
  <si>
    <t>CL31B103KHFNFNE</t>
  </si>
  <si>
    <t>1000uF/400V</t>
  </si>
  <si>
    <t>NO PN</t>
  </si>
  <si>
    <t>C13, C14, C15, C16, C17, C18, C19, C20, C21, C22</t>
  </si>
  <si>
    <t>CA-ALU-35x50</t>
  </si>
  <si>
    <t>10000uF/63V</t>
  </si>
  <si>
    <t>C23, C24</t>
  </si>
  <si>
    <t>10nF/25V</t>
  </si>
  <si>
    <t>CAP CER 10000PF 25V X7R 0603</t>
  </si>
  <si>
    <t>C27, C31, C55</t>
  </si>
  <si>
    <t>CL10B103KB8NNNC</t>
  </si>
  <si>
    <t>100uF/20V</t>
  </si>
  <si>
    <t>CAP TANT 100UF 10% 20V 2917</t>
  </si>
  <si>
    <t>C36, C40, C41, C42, C43, C44, C45, C46, C47, C48, C49, C60, C131, C142, C143</t>
  </si>
  <si>
    <t>Tantalum 2917</t>
  </si>
  <si>
    <t>TAJD107K020RNJ</t>
  </si>
  <si>
    <t>470uF/10V</t>
  </si>
  <si>
    <t>CAP TANT 470UF 10% 10V 2917</t>
  </si>
  <si>
    <t>C61, C132</t>
  </si>
  <si>
    <t>TAJE477K010RNJ</t>
  </si>
  <si>
    <t>12pF</t>
  </si>
  <si>
    <t>CAP CER 12PF 50V C0G/NP0 0603</t>
  </si>
  <si>
    <t>C79, C80</t>
  </si>
  <si>
    <t>CL10C120JB81PNC</t>
  </si>
  <si>
    <t>4.7nF/16V</t>
  </si>
  <si>
    <t>4700 pF ±10% 16V Ceramic Capacitor X7R 0603 (1608 Metric)</t>
  </si>
  <si>
    <t>C119</t>
  </si>
  <si>
    <t>C0603C472K4RECAUTO</t>
  </si>
  <si>
    <t>600V/5A</t>
  </si>
  <si>
    <t>DIODE STANDARD 600V 5A DO214AB</t>
  </si>
  <si>
    <t>D1A, D1B, D2A, D2B</t>
  </si>
  <si>
    <t>DIO-SMD-C</t>
  </si>
  <si>
    <t>VS-5ECU06-M3/9AT</t>
  </si>
  <si>
    <t>1N5819W</t>
  </si>
  <si>
    <t>DIODE SCHOTTKY 40V 1A SOD123FL</t>
  </si>
  <si>
    <t>D3A, D3B</t>
  </si>
  <si>
    <t>DIO-SMD-123</t>
  </si>
  <si>
    <t>SK34A</t>
  </si>
  <si>
    <t>DIODE SCHOTTKY 40V 3A DO214AC</t>
  </si>
  <si>
    <t>D4, D8</t>
  </si>
  <si>
    <t>DIO-SMD-A</t>
  </si>
  <si>
    <t>1N4148</t>
  </si>
  <si>
    <t>DIODE STANDARD 100V 150MA SOD323</t>
  </si>
  <si>
    <t>D7, D9, D10</t>
  </si>
  <si>
    <t>DIO-SMD-323</t>
  </si>
  <si>
    <t>1N4148WX-TP</t>
  </si>
  <si>
    <t>DDZ9699T</t>
  </si>
  <si>
    <t>DIODE ZENER 12V 150MW SOD523</t>
  </si>
  <si>
    <t>DZ1</t>
  </si>
  <si>
    <t>DIO-SMD-523</t>
  </si>
  <si>
    <t>DDZ9699T-7</t>
  </si>
  <si>
    <t>ROCKET SW</t>
  </si>
  <si>
    <t>CONN HEADER R/A 2POS 3.96MM</t>
  </si>
  <si>
    <t>J1</t>
  </si>
  <si>
    <t>S2P-VH(LF)(SN)</t>
  </si>
  <si>
    <t>S2P-VH</t>
  </si>
  <si>
    <t>Header2</t>
  </si>
  <si>
    <t>Connector 2</t>
  </si>
  <si>
    <t>J2, J3A, J3B</t>
  </si>
  <si>
    <t>XH2.54-2-DIP</t>
  </si>
  <si>
    <t>Header4</t>
  </si>
  <si>
    <t>Connector 4</t>
  </si>
  <si>
    <t>J4, J8, J12, J13, J14, J16</t>
  </si>
  <si>
    <t>XH2.54-4-DIP</t>
  </si>
  <si>
    <t>SM04B-SRSS-TBLFSN</t>
  </si>
  <si>
    <t>CONN HEADER SMD R/A 4POS 1MM</t>
  </si>
  <si>
    <t>J5</t>
  </si>
  <si>
    <t>BM04B-SRSS-TB</t>
  </si>
  <si>
    <t>SM04B-SRSS-TB</t>
  </si>
  <si>
    <t>Header3</t>
  </si>
  <si>
    <t>Connector 3</t>
  </si>
  <si>
    <t>J9</t>
  </si>
  <si>
    <t>XH2.54-3-DIP</t>
  </si>
  <si>
    <t>CHAR</t>
  </si>
  <si>
    <t>J10</t>
  </si>
  <si>
    <t>BAT</t>
  </si>
  <si>
    <t>J11</t>
  </si>
  <si>
    <t>JP3x2</t>
  </si>
  <si>
    <t>CONN RCPT 6POS 0.1 GOLD PCB</t>
  </si>
  <si>
    <t>JP1, JP2, JP3, JP4, JP5, JP8</t>
  </si>
  <si>
    <t>JP3-C2T</t>
  </si>
  <si>
    <t>5-534206-3</t>
  </si>
  <si>
    <t>JP5x2</t>
  </si>
  <si>
    <t>CONN RCPT 10POS 0.1 GOLD PCB</t>
  </si>
  <si>
    <t>JP6</t>
  </si>
  <si>
    <t>JP5-C2T</t>
  </si>
  <si>
    <t>5-534206-5</t>
  </si>
  <si>
    <t>22 μH</t>
  </si>
  <si>
    <t>FIXED IND 22UH 2.5A 170 MOHM SMD, P/N: SRP7050TA-220M</t>
  </si>
  <si>
    <t>L1, L2</t>
  </si>
  <si>
    <t>PSM6050</t>
  </si>
  <si>
    <t>Wurth Elektronik</t>
  </si>
  <si>
    <t>SRP7050TA-220M</t>
  </si>
  <si>
    <t>8.2 μH</t>
  </si>
  <si>
    <t>FIXED IND 8.2UH 8A 24 MOHM SMD</t>
  </si>
  <si>
    <t>L5</t>
  </si>
  <si>
    <t>PSM1040</t>
  </si>
  <si>
    <t>SRP1038A-8R2M</t>
  </si>
  <si>
    <t>LED</t>
  </si>
  <si>
    <t>LED RED CLEAR 0603 SMD</t>
  </si>
  <si>
    <t>LED1, LED2, LED3</t>
  </si>
  <si>
    <t>LED-0603-RED</t>
  </si>
  <si>
    <t>150060RS75000</t>
  </si>
  <si>
    <t>IPD082N10N3 G</t>
  </si>
  <si>
    <t>MOSFET N-CH 100V 80A DPAK</t>
  </si>
  <si>
    <t>Q1A, Q1B, Q3, Q4</t>
  </si>
  <si>
    <t>TO252-123</t>
  </si>
  <si>
    <t>IPD082N10N3G</t>
  </si>
  <si>
    <t>IPD60R600CM8XTMA1</t>
  </si>
  <si>
    <t>MOSFET N-CH 600 V 7A (Tj) 64W (Tc) Surface Mount PG-TO252-3-313</t>
  </si>
  <si>
    <t>Q2A, Q2B</t>
  </si>
  <si>
    <t>AO3400</t>
  </si>
  <si>
    <t>MOSFET N-CH 30V 5.7A SOT23-3L</t>
  </si>
  <si>
    <t>Q5A, Q5B, Q17</t>
  </si>
  <si>
    <t>SOT23-123</t>
  </si>
  <si>
    <t>AONS21303C</t>
  </si>
  <si>
    <t>MOSFET P-CH 30V 180A 8DFN</t>
  </si>
  <si>
    <t>Q12, Q13</t>
  </si>
  <si>
    <t>PowerPAK SO-8 Single</t>
  </si>
  <si>
    <t>AON7418</t>
  </si>
  <si>
    <t>MOSFET N-CH 30V 46A/50A 8DFN</t>
  </si>
  <si>
    <t>Q14, Q15</t>
  </si>
  <si>
    <t>DFN3.3x3.3_8L</t>
  </si>
  <si>
    <t>AO3401</t>
  </si>
  <si>
    <t>P-MOS 30V 4A</t>
  </si>
  <si>
    <t>Q16</t>
  </si>
  <si>
    <t>51R/1%</t>
  </si>
  <si>
    <t>RES SMD 51 OHM 1% 1/10W 0603</t>
  </si>
  <si>
    <t>R1A, R1B, R3A, R3B, R5A, R5B</t>
  </si>
  <si>
    <t>RES-SMD-0603</t>
  </si>
  <si>
    <t>ERJ-3EKF51R0V</t>
  </si>
  <si>
    <t>8K2/0.5%/1W</t>
  </si>
  <si>
    <t>RES-SMD-1206</t>
  </si>
  <si>
    <t>RES SMD 8.2K OHM 0.5% 1W 1206</t>
  </si>
  <si>
    <t>HRG3216P-8201-D-T1</t>
  </si>
  <si>
    <t>11R/1%</t>
  </si>
  <si>
    <t>RES SMD 11 OHM 1% 3/4W 1206</t>
  </si>
  <si>
    <t>R4A, R4B, R6A, R6B</t>
  </si>
  <si>
    <t>CRCW120611R0FKEAHP</t>
  </si>
  <si>
    <t>5.1k/1%</t>
  </si>
  <si>
    <t>RES SMD 5.1K OHM 1% 1/10W 0603</t>
  </si>
  <si>
    <t>R7A, R7B, R9A, R9B, R62, R67, R173, R174, R175, R176, R182</t>
  </si>
  <si>
    <t>ERJ-3EKF5101V</t>
  </si>
  <si>
    <t>470R/1%</t>
  </si>
  <si>
    <t>RES 470 OHM 1% 1/10W 0603</t>
  </si>
  <si>
    <t>R8A, R8B, R26A, R26B, R27A, R27B, R53, R57, R60, R65</t>
  </si>
  <si>
    <t>RC0603FR-07470RL</t>
  </si>
  <si>
    <t>220k/1%/0.5W</t>
  </si>
  <si>
    <t>RES SMD 220K OHM 1% 1/2W 2010</t>
  </si>
  <si>
    <t>R10, R11, R12, R13, R14, R15</t>
  </si>
  <si>
    <t>RES-SMD-2010</t>
  </si>
  <si>
    <t>CHV2010-FX-2203ELF</t>
  </si>
  <si>
    <t>10k/1%</t>
  </si>
  <si>
    <t>RES SMD 10K OHM 1% 1/10W 0603</t>
  </si>
  <si>
    <t>R16, R19, R21, R23, R24, R28A, R28B, R36, R37, R38, R39, R40, R41, R46, R47, R52, R56, R63, R68, R69, R79, R80, R81, R82, R86, R87, R88, R89, R94, R95, R96, R170, R172, R185, R195, R196, R197, R198, R199, R206</t>
  </si>
  <si>
    <t>ERJ-3EKF1002V</t>
  </si>
  <si>
    <t>1k/1%</t>
  </si>
  <si>
    <t>RES SMD 1K OHM 1% 1/10W 0603</t>
  </si>
  <si>
    <t>R17, R18, R31, R35A, R35B, R59</t>
  </si>
  <si>
    <t>ERJ-3EKF1001V</t>
  </si>
  <si>
    <t>47K/1%</t>
  </si>
  <si>
    <t>RES SMD 47K OHM 1% 1/10W 0603</t>
  </si>
  <si>
    <t>R20, R22, R55</t>
  </si>
  <si>
    <t>ERJ-3EKF4702V</t>
  </si>
  <si>
    <t>3.24K/1%</t>
  </si>
  <si>
    <t>RES SMD 3.24K OHM 1% 1/10W 0603</t>
  </si>
  <si>
    <t>R25, R70</t>
  </si>
  <si>
    <t>ERJ-3EKF3241V</t>
  </si>
  <si>
    <t>22R/1%</t>
  </si>
  <si>
    <t>RES SMD 22 OHM 1% 1/10W 0603</t>
  </si>
  <si>
    <t>R29, R32, R33, R34, R42, R43, R44, R45, R48, R49, R84, R85, R90, R91, R92, R93, R99, R100, R169, R171, R177, R178, R179, R180, R200, R201, R202, R203, R204, R205</t>
  </si>
  <si>
    <t>ERJ-3EKF22R0V</t>
  </si>
  <si>
    <t>25mR/1%/1.5W</t>
  </si>
  <si>
    <t>RESISTOR - ISA-PLAN SHUNT, 0.025</t>
  </si>
  <si>
    <t>R30, R181, R186</t>
  </si>
  <si>
    <t>VMK-R025-1.0-U</t>
  </si>
  <si>
    <t>100k/0.5%</t>
  </si>
  <si>
    <t>RES SMD 100K OHM 5% 1/2W 2010</t>
  </si>
  <si>
    <t>R50, R51</t>
  </si>
  <si>
    <t>CHV2010-JW-104ELF</t>
  </si>
  <si>
    <t>2k/1%</t>
  </si>
  <si>
    <t>RES SMD 2K OHM 1% 1/10W 0603</t>
  </si>
  <si>
    <t>R54</t>
  </si>
  <si>
    <t>ERJ-3EKF2001V</t>
  </si>
  <si>
    <t>3k/1%</t>
  </si>
  <si>
    <t>RES SMD 3K OHM 0.1% 1/10W 0603</t>
  </si>
  <si>
    <t>R58, R83, R189, R191</t>
  </si>
  <si>
    <t>ERA-3AEB302V</t>
  </si>
  <si>
    <t>3.3k/1%</t>
  </si>
  <si>
    <t>RES SMD 3.3K OHM 1% 1/10W 0603</t>
  </si>
  <si>
    <t>R61, R66</t>
  </si>
  <si>
    <t>ERJ-3EKF3301V</t>
  </si>
  <si>
    <t>953R/1%</t>
  </si>
  <si>
    <t>RES SMD 953 OHM 1% 1/10W 0603</t>
  </si>
  <si>
    <t>R64</t>
  </si>
  <si>
    <t>ERJ-3EKF9530V</t>
  </si>
  <si>
    <t>50R/50W</t>
  </si>
  <si>
    <t>TPAN0263F50R0K9</t>
  </si>
  <si>
    <t>R71, R72, R73, R74, R75, R76, R77, R78</t>
  </si>
  <si>
    <t>TO263-123</t>
  </si>
  <si>
    <t>110k/1%</t>
  </si>
  <si>
    <t>RES 110K OHM 1% 1/10W 0603</t>
  </si>
  <si>
    <t>R183, R187, R190</t>
  </si>
  <si>
    <t>RC0603FR-07110KL</t>
  </si>
  <si>
    <t>6.04k/1%</t>
  </si>
  <si>
    <t>RES 6.04K OHM 1% 1/10W 0603</t>
  </si>
  <si>
    <t>R188</t>
  </si>
  <si>
    <t>RC0603FR-076K04L</t>
  </si>
  <si>
    <t>26.7k/1%</t>
  </si>
  <si>
    <t>RES 26.7K OHM 1% 1/10W 0603</t>
  </si>
  <si>
    <t>R194</t>
  </si>
  <si>
    <t>RMCF0603FT26K7</t>
  </si>
  <si>
    <t>DA2034_AL</t>
  </si>
  <si>
    <t>Audio Transformers / Signal Transformers DA2032 Cap Chrgr For Linear LT3750/51</t>
  </si>
  <si>
    <t>Tran1A, Tran1B</t>
  </si>
  <si>
    <t>DA2034_ALD</t>
  </si>
  <si>
    <t>UCC21551BDWKR</t>
  </si>
  <si>
    <t>4A/6A 5KVRMS DUAL-CHANNEL ISOLAT</t>
  </si>
  <si>
    <t>U1A, U1B</t>
  </si>
  <si>
    <t>Texas Instruments</t>
  </si>
  <si>
    <t>LTC4359</t>
  </si>
  <si>
    <t>IC OR CTRLR N+1 8MSOP</t>
  </si>
  <si>
    <t>U2</t>
  </si>
  <si>
    <t>VSSOP8</t>
  </si>
  <si>
    <t>LTC4359CMS8#TRPBF</t>
  </si>
  <si>
    <t>TPS5430DDAR</t>
  </si>
  <si>
    <t>IC REG BUCK ADJ 3A 8SOPWR</t>
  </si>
  <si>
    <t>U3, U6</t>
  </si>
  <si>
    <t>HSOP8</t>
  </si>
  <si>
    <t>TEL 5-1212</t>
  </si>
  <si>
    <t>DC DC CONVERTER 12V 6W</t>
  </si>
  <si>
    <t>U5</t>
  </si>
  <si>
    <t>TEL_5-XXYY_SINGLE</t>
  </si>
  <si>
    <t>LM1117-3.3V</t>
  </si>
  <si>
    <t>IC REG LIN 3.3V 800MA SOT-223-4</t>
  </si>
  <si>
    <t>U7</t>
  </si>
  <si>
    <t>SOT223</t>
  </si>
  <si>
    <t>TLV1117-33IDCYR</t>
  </si>
  <si>
    <t>OPTO</t>
  </si>
  <si>
    <t>OPTOISO 3.75KV 1CH TRANS 4-SSOP</t>
  </si>
  <si>
    <t>U8A, U8B</t>
  </si>
  <si>
    <t>EL3H7</t>
  </si>
  <si>
    <t>EL3H7(B)(TA)-VG</t>
  </si>
  <si>
    <t>ADUM1201</t>
  </si>
  <si>
    <t>DGTL ISOLTR 2.5KV 2CH GP 8-SOIC</t>
  </si>
  <si>
    <t>U9, U25</t>
  </si>
  <si>
    <t>SO8</t>
  </si>
  <si>
    <t>ADUM1201CRZ-RL7</t>
  </si>
  <si>
    <t>MAX232DR</t>
  </si>
  <si>
    <t>IC TRANSCEIVER FULL 2/2 16SOIC</t>
  </si>
  <si>
    <t>U10</t>
  </si>
  <si>
    <t>SO16</t>
  </si>
  <si>
    <t>TC1047AVNBTR</t>
  </si>
  <si>
    <t>SENSOR ANALOG -40C-125C SOT23-3</t>
  </si>
  <si>
    <t>U11A, U11B</t>
  </si>
  <si>
    <t>SOT23-132</t>
  </si>
  <si>
    <t>H3LIS331DL</t>
  </si>
  <si>
    <t>ACCEL 100-400G I2C/SPI 16TFLGA</t>
  </si>
  <si>
    <t>U12</t>
  </si>
  <si>
    <t>TFLGA-16L</t>
  </si>
  <si>
    <t>H3LIS331DLTR</t>
  </si>
  <si>
    <t>U13</t>
  </si>
  <si>
    <t>LQFP64</t>
  </si>
  <si>
    <t>OPA340NA/250</t>
  </si>
  <si>
    <t>IC OPAMP GP 1 CIRCUIT SOT23-5</t>
  </si>
  <si>
    <t>U14, U15</t>
  </si>
  <si>
    <t>SOT23-5</t>
  </si>
  <si>
    <t>TLV7031DCKT</t>
  </si>
  <si>
    <t>IC COMPARATOR 1 GEN PUR SC70-5</t>
  </si>
  <si>
    <t>U16, U17</t>
  </si>
  <si>
    <t>SOT353</t>
  </si>
  <si>
    <t>XBEE S3B PRO</t>
  </si>
  <si>
    <t>U20</t>
  </si>
  <si>
    <t>XBEE S3B PRO DIP</t>
  </si>
  <si>
    <t>ADUM1250</t>
  </si>
  <si>
    <t>DGTL ISOLTR 2.5KV 2CH I2C 8-SOIC</t>
  </si>
  <si>
    <t>U21</t>
  </si>
  <si>
    <t>ADUM1250ARZ-RL7</t>
  </si>
  <si>
    <t>LTC4012IUF#PBF</t>
  </si>
  <si>
    <t>IC BAT CHG MULT-CHEM 1-4CL 20QFN</t>
  </si>
  <si>
    <t>U22</t>
  </si>
  <si>
    <t>PQFN50P400X400X80_HS-21N</t>
  </si>
  <si>
    <t>ADS1115</t>
  </si>
  <si>
    <t>IC ADC 16BIT SIGMA-DELTA 10X2QFN</t>
  </si>
  <si>
    <t>U23</t>
  </si>
  <si>
    <t>R-PQFP-N10</t>
  </si>
  <si>
    <t>ADS1115IRUGR</t>
  </si>
  <si>
    <t>LSM6DSOX</t>
  </si>
  <si>
    <t>INEMO INERTIAL MODULE: 3D ACCELE</t>
  </si>
  <si>
    <t>U26</t>
  </si>
  <si>
    <t>LSM6DSOXTR</t>
  </si>
  <si>
    <t>XTAL_8MHz</t>
  </si>
  <si>
    <t>CRYSTAL 8.0000MHZ 8PF SMD</t>
  </si>
  <si>
    <t>X1</t>
  </si>
  <si>
    <t>XT4-16.000MHz-4_V</t>
  </si>
  <si>
    <t>ECS-80-8-33Q-ADS</t>
  </si>
  <si>
    <t>HV_Elec_Controller_V3_HW</t>
  </si>
  <si>
    <t>Part Num</t>
  </si>
  <si>
    <t>QtyTotal</t>
  </si>
  <si>
    <t>QtySent</t>
  </si>
  <si>
    <t>Note</t>
  </si>
  <si>
    <t>Samsung Electro-Mechanics</t>
  </si>
  <si>
    <t>KEMET</t>
  </si>
  <si>
    <t>KYOCERA AVX</t>
  </si>
  <si>
    <t>Panasonic Electronic Components</t>
  </si>
  <si>
    <t>Stackpole Electronics Inc</t>
  </si>
  <si>
    <t>YAGEO</t>
  </si>
  <si>
    <t>Bourns Inc.</t>
  </si>
  <si>
    <t>Isabellenhuette USA</t>
  </si>
  <si>
    <t>C10A,C10B</t>
  </si>
  <si>
    <t>R2A,R2B</t>
  </si>
  <si>
    <t>Susumu</t>
  </si>
  <si>
    <t>Vishay Dale</t>
  </si>
  <si>
    <t>Analog Devices Inc.</t>
  </si>
  <si>
    <t>Traco Power</t>
  </si>
  <si>
    <t>Không thấy PN bo cũ</t>
  </si>
  <si>
    <t>IC MCU 32BIT 1MB FLASH 64LQFP</t>
  </si>
  <si>
    <t>STM32F405RGT7</t>
  </si>
  <si>
    <t>STMicroelectronics</t>
  </si>
  <si>
    <t>Everlight Electronics Co Ltd</t>
  </si>
  <si>
    <t>ECS Inc.</t>
  </si>
  <si>
    <t>296-49506-6-ND</t>
  </si>
  <si>
    <t>Microchip Technology</t>
  </si>
  <si>
    <t>Alpha &amp; Omega Semiconductor Inc.</t>
  </si>
  <si>
    <t>Infineon Technologies</t>
  </si>
  <si>
    <t>UMW</t>
  </si>
  <si>
    <t>TE Connectivity AMP Connectors</t>
  </si>
  <si>
    <t>JST Sales America Inc.</t>
  </si>
  <si>
    <t>Diodes Incorporated</t>
  </si>
  <si>
    <t>MCC (Micro Commercial Components)</t>
  </si>
  <si>
    <t>SMC Diode Solutions</t>
  </si>
  <si>
    <t>Vishay General Semiconductor - Diodes Division</t>
  </si>
  <si>
    <t>Không có stock digi</t>
  </si>
  <si>
    <t>SMT</t>
  </si>
  <si>
    <t>Connector, module cắm ngoài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</si>
</sst>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/>
    <xf numFmtId="0" fontId="0" fillId="3" borderId="1" xfId="0" quotePrefix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0" fillId="4" borderId="1" xfId="0" quotePrefix="1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/>
    <xf numFmtId="0" fontId="0" fillId="4" borderId="0" xfId="0" applyFont="1" applyFill="1"/>
    <xf numFmtId="0" fontId="2" fillId="0" borderId="0" xfId="0" applyFont="1"/>
    <xf numFmtId="0" fontId="0" fillId="5" borderId="1" xfId="0" quotePrefix="1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/>
    <xf numFmtId="0" fontId="0" fillId="5" borderId="0" xfId="0" applyFont="1" applyFill="1"/>
    <xf numFmtId="0" fontId="0" fillId="5" borderId="1" xfId="0" quotePrefix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0" xfId="0" applyFill="1"/>
    <xf numFmtId="0" fontId="0" fillId="0" borderId="0" xfId="0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1" xfId="0" quotePrefix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workbookViewId="0">
      <selection activeCell="D87" sqref="D87"/>
    </sheetView>
  </sheetViews>
  <sheetFormatPr defaultRowHeight="14.25" x14ac:dyDescent="0.45"/>
  <cols>
    <col min="1" max="1" width="6.3984375" customWidth="1"/>
    <col min="2" max="2" width="20.9296875" customWidth="1"/>
    <col min="3" max="3" width="31.6640625" customWidth="1"/>
    <col min="4" max="4" width="31.73046875" style="8" customWidth="1"/>
    <col min="5" max="5" width="25.3984375" customWidth="1"/>
    <col min="6" max="6" width="22.265625" customWidth="1"/>
    <col min="7" max="7" width="19.73046875" customWidth="1"/>
    <col min="8" max="8" width="9.3984375" customWidth="1"/>
    <col min="11" max="11" width="19.86328125" customWidth="1"/>
  </cols>
  <sheetData>
    <row r="1" spans="1:11" x14ac:dyDescent="0.45">
      <c r="A1" s="27" t="s">
        <v>320</v>
      </c>
      <c r="B1" s="28"/>
      <c r="C1" s="28"/>
      <c r="D1" s="28"/>
      <c r="E1" s="2"/>
      <c r="F1" s="2"/>
      <c r="G1" s="2"/>
      <c r="H1" s="2" t="s">
        <v>357</v>
      </c>
    </row>
    <row r="2" spans="1:11" s="6" customFormat="1" x14ac:dyDescent="0.4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321</v>
      </c>
      <c r="H2" s="5" t="s">
        <v>6</v>
      </c>
      <c r="I2" s="7" t="s">
        <v>322</v>
      </c>
      <c r="J2" s="7" t="s">
        <v>323</v>
      </c>
      <c r="K2" s="7" t="s">
        <v>324</v>
      </c>
    </row>
    <row r="3" spans="1:11" x14ac:dyDescent="0.4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325</v>
      </c>
      <c r="G3" s="3" t="s">
        <v>12</v>
      </c>
      <c r="H3" s="4">
        <v>23</v>
      </c>
      <c r="I3" s="1"/>
      <c r="J3" s="1"/>
      <c r="K3" s="1"/>
    </row>
    <row r="4" spans="1:11" x14ac:dyDescent="0.45">
      <c r="A4" s="3">
        <f>A3+1</f>
        <v>2</v>
      </c>
      <c r="B4" s="3" t="s">
        <v>13</v>
      </c>
      <c r="C4" s="3" t="s">
        <v>14</v>
      </c>
      <c r="D4" s="3" t="s">
        <v>15</v>
      </c>
      <c r="E4" s="3" t="s">
        <v>11</v>
      </c>
      <c r="F4" s="4" t="s">
        <v>325</v>
      </c>
      <c r="G4" s="3" t="s">
        <v>16</v>
      </c>
      <c r="H4" s="4">
        <v>72</v>
      </c>
      <c r="I4" s="1"/>
      <c r="J4" s="1"/>
      <c r="K4" s="1"/>
    </row>
    <row r="5" spans="1:11" x14ac:dyDescent="0.45">
      <c r="A5" s="3">
        <f t="shared" ref="A5:A68" si="0">A4+1</f>
        <v>3</v>
      </c>
      <c r="B5" s="3" t="s">
        <v>17</v>
      </c>
      <c r="C5" s="3" t="s">
        <v>18</v>
      </c>
      <c r="D5" s="3" t="s">
        <v>19</v>
      </c>
      <c r="E5" s="3" t="s">
        <v>11</v>
      </c>
      <c r="F5" s="4" t="s">
        <v>326</v>
      </c>
      <c r="G5" s="3" t="s">
        <v>20</v>
      </c>
      <c r="H5" s="4">
        <v>6</v>
      </c>
      <c r="I5" s="1"/>
      <c r="J5" s="1"/>
      <c r="K5" s="1"/>
    </row>
    <row r="6" spans="1:11" x14ac:dyDescent="0.45">
      <c r="A6" s="3">
        <f t="shared" si="0"/>
        <v>4</v>
      </c>
      <c r="B6" s="3" t="s">
        <v>21</v>
      </c>
      <c r="C6" s="3" t="s">
        <v>23</v>
      </c>
      <c r="D6" s="3" t="s">
        <v>333</v>
      </c>
      <c r="E6" s="3" t="s">
        <v>22</v>
      </c>
      <c r="F6" s="4" t="s">
        <v>325</v>
      </c>
      <c r="G6" s="3" t="s">
        <v>24</v>
      </c>
      <c r="H6" s="4">
        <v>2</v>
      </c>
      <c r="I6" s="1"/>
      <c r="J6" s="1"/>
      <c r="K6" s="1"/>
    </row>
    <row r="7" spans="1:11" s="32" customFormat="1" x14ac:dyDescent="0.45">
      <c r="A7" s="29">
        <f ca="1">A6+1+A7:M9</f>
        <v>0</v>
      </c>
      <c r="B7" s="29" t="s">
        <v>25</v>
      </c>
      <c r="C7" s="29" t="s">
        <v>26</v>
      </c>
      <c r="D7" s="29" t="s">
        <v>27</v>
      </c>
      <c r="E7" s="29" t="s">
        <v>28</v>
      </c>
      <c r="F7" s="30"/>
      <c r="G7" s="30"/>
      <c r="H7" s="30">
        <v>10</v>
      </c>
      <c r="I7" s="31"/>
      <c r="J7" s="31"/>
      <c r="K7" s="31" t="s">
        <v>339</v>
      </c>
    </row>
    <row r="8" spans="1:11" s="32" customFormat="1" x14ac:dyDescent="0.45">
      <c r="A8" s="29">
        <f t="shared" ca="1" si="0"/>
        <v>6</v>
      </c>
      <c r="B8" s="29" t="s">
        <v>29</v>
      </c>
      <c r="C8" s="29" t="s">
        <v>26</v>
      </c>
      <c r="D8" s="29" t="s">
        <v>30</v>
      </c>
      <c r="E8" s="29" t="s">
        <v>28</v>
      </c>
      <c r="F8" s="30"/>
      <c r="G8" s="30"/>
      <c r="H8" s="30">
        <v>2</v>
      </c>
      <c r="I8" s="31"/>
      <c r="J8" s="31"/>
      <c r="K8" s="31" t="s">
        <v>339</v>
      </c>
    </row>
    <row r="9" spans="1:11" x14ac:dyDescent="0.45">
      <c r="A9" s="3">
        <f t="shared" ca="1" si="0"/>
        <v>7</v>
      </c>
      <c r="B9" s="3" t="s">
        <v>31</v>
      </c>
      <c r="C9" s="3" t="s">
        <v>32</v>
      </c>
      <c r="D9" s="3" t="s">
        <v>33</v>
      </c>
      <c r="E9" s="3" t="s">
        <v>11</v>
      </c>
      <c r="F9" s="4" t="s">
        <v>325</v>
      </c>
      <c r="G9" s="3" t="s">
        <v>34</v>
      </c>
      <c r="H9" s="4">
        <v>3</v>
      </c>
      <c r="I9" s="1"/>
      <c r="J9" s="1"/>
      <c r="K9" s="1"/>
    </row>
    <row r="10" spans="1:11" x14ac:dyDescent="0.45">
      <c r="A10" s="3">
        <f t="shared" ca="1" si="0"/>
        <v>8</v>
      </c>
      <c r="B10" s="3" t="s">
        <v>35</v>
      </c>
      <c r="C10" s="3" t="s">
        <v>36</v>
      </c>
      <c r="D10" s="3" t="s">
        <v>37</v>
      </c>
      <c r="E10" s="3" t="s">
        <v>38</v>
      </c>
      <c r="F10" s="4" t="s">
        <v>327</v>
      </c>
      <c r="G10" s="3" t="s">
        <v>39</v>
      </c>
      <c r="H10" s="4">
        <v>15</v>
      </c>
      <c r="I10" s="1"/>
      <c r="J10" s="1"/>
      <c r="K10" s="1"/>
    </row>
    <row r="11" spans="1:11" x14ac:dyDescent="0.45">
      <c r="A11" s="3">
        <f t="shared" ca="1" si="0"/>
        <v>9</v>
      </c>
      <c r="B11" s="3" t="s">
        <v>40</v>
      </c>
      <c r="C11" s="3" t="s">
        <v>41</v>
      </c>
      <c r="D11" s="3" t="s">
        <v>42</v>
      </c>
      <c r="E11" s="3" t="s">
        <v>38</v>
      </c>
      <c r="F11" s="4" t="s">
        <v>327</v>
      </c>
      <c r="G11" s="3" t="s">
        <v>43</v>
      </c>
      <c r="H11" s="4">
        <v>2</v>
      </c>
      <c r="I11" s="1"/>
      <c r="J11" s="1"/>
      <c r="K11" s="1"/>
    </row>
    <row r="12" spans="1:11" x14ac:dyDescent="0.45">
      <c r="A12" s="3">
        <f t="shared" ca="1" si="0"/>
        <v>10</v>
      </c>
      <c r="B12" s="3" t="s">
        <v>44</v>
      </c>
      <c r="C12" s="3" t="s">
        <v>45</v>
      </c>
      <c r="D12" s="3" t="s">
        <v>46</v>
      </c>
      <c r="E12" s="3" t="s">
        <v>11</v>
      </c>
      <c r="F12" s="4" t="s">
        <v>325</v>
      </c>
      <c r="G12" s="3" t="s">
        <v>47</v>
      </c>
      <c r="H12" s="4">
        <v>2</v>
      </c>
      <c r="I12" s="1"/>
      <c r="J12" s="1"/>
      <c r="K12" s="1"/>
    </row>
    <row r="13" spans="1:11" x14ac:dyDescent="0.45">
      <c r="A13" s="3">
        <f t="shared" ca="1" si="0"/>
        <v>11</v>
      </c>
      <c r="B13" s="3" t="s">
        <v>48</v>
      </c>
      <c r="C13" s="3" t="s">
        <v>49</v>
      </c>
      <c r="D13" s="3" t="s">
        <v>50</v>
      </c>
      <c r="E13" s="3" t="s">
        <v>11</v>
      </c>
      <c r="F13" s="4" t="s">
        <v>326</v>
      </c>
      <c r="G13" s="3" t="s">
        <v>51</v>
      </c>
      <c r="H13" s="4">
        <v>1</v>
      </c>
      <c r="I13" s="1"/>
      <c r="J13" s="1"/>
      <c r="K13" s="1"/>
    </row>
    <row r="14" spans="1:11" x14ac:dyDescent="0.45">
      <c r="A14" s="3">
        <f t="shared" ca="1" si="0"/>
        <v>12</v>
      </c>
      <c r="B14" s="3" t="s">
        <v>52</v>
      </c>
      <c r="C14" s="3" t="s">
        <v>53</v>
      </c>
      <c r="D14" s="3" t="s">
        <v>54</v>
      </c>
      <c r="E14" s="3" t="s">
        <v>55</v>
      </c>
      <c r="F14" s="4" t="s">
        <v>355</v>
      </c>
      <c r="G14" s="3" t="s">
        <v>56</v>
      </c>
      <c r="H14" s="4">
        <v>4</v>
      </c>
      <c r="I14" s="1"/>
      <c r="J14" s="1"/>
      <c r="K14" s="1"/>
    </row>
    <row r="15" spans="1:11" x14ac:dyDescent="0.45">
      <c r="A15" s="3">
        <f t="shared" ca="1" si="0"/>
        <v>13</v>
      </c>
      <c r="B15" s="3" t="s">
        <v>57</v>
      </c>
      <c r="C15" s="3" t="s">
        <v>58</v>
      </c>
      <c r="D15" s="3" t="s">
        <v>59</v>
      </c>
      <c r="E15" s="3" t="s">
        <v>60</v>
      </c>
      <c r="F15" s="4" t="s">
        <v>354</v>
      </c>
      <c r="G15" s="3" t="s">
        <v>57</v>
      </c>
      <c r="H15" s="4">
        <v>2</v>
      </c>
      <c r="I15" s="1"/>
      <c r="J15" s="1"/>
      <c r="K15" s="1"/>
    </row>
    <row r="16" spans="1:11" x14ac:dyDescent="0.45">
      <c r="A16" s="3">
        <f t="shared" ca="1" si="0"/>
        <v>14</v>
      </c>
      <c r="B16" s="3" t="s">
        <v>61</v>
      </c>
      <c r="C16" s="3" t="s">
        <v>62</v>
      </c>
      <c r="D16" s="3" t="s">
        <v>63</v>
      </c>
      <c r="E16" s="3" t="s">
        <v>64</v>
      </c>
      <c r="F16" s="4" t="s">
        <v>354</v>
      </c>
      <c r="G16" s="3" t="s">
        <v>61</v>
      </c>
      <c r="H16" s="4">
        <v>2</v>
      </c>
      <c r="I16" s="1"/>
      <c r="J16" s="1"/>
      <c r="K16" s="1"/>
    </row>
    <row r="17" spans="1:11" x14ac:dyDescent="0.45">
      <c r="A17" s="3">
        <f t="shared" ca="1" si="0"/>
        <v>15</v>
      </c>
      <c r="B17" s="3" t="s">
        <v>65</v>
      </c>
      <c r="C17" s="3" t="s">
        <v>66</v>
      </c>
      <c r="D17" s="3" t="s">
        <v>67</v>
      </c>
      <c r="E17" s="3" t="s">
        <v>68</v>
      </c>
      <c r="F17" s="4" t="s">
        <v>353</v>
      </c>
      <c r="G17" s="3" t="s">
        <v>69</v>
      </c>
      <c r="H17" s="4">
        <v>3</v>
      </c>
      <c r="I17" s="1"/>
      <c r="J17" s="1"/>
      <c r="K17" s="1"/>
    </row>
    <row r="18" spans="1:11" x14ac:dyDescent="0.45">
      <c r="A18" s="3">
        <f t="shared" ca="1" si="0"/>
        <v>16</v>
      </c>
      <c r="B18" s="3" t="s">
        <v>70</v>
      </c>
      <c r="C18" s="3" t="s">
        <v>71</v>
      </c>
      <c r="D18" s="3" t="s">
        <v>72</v>
      </c>
      <c r="E18" s="3" t="s">
        <v>73</v>
      </c>
      <c r="F18" s="4" t="s">
        <v>352</v>
      </c>
      <c r="G18" s="3" t="s">
        <v>74</v>
      </c>
      <c r="H18" s="4">
        <v>1</v>
      </c>
      <c r="I18" s="1"/>
      <c r="J18" s="1"/>
      <c r="K18" s="1"/>
    </row>
    <row r="19" spans="1:11" x14ac:dyDescent="0.45">
      <c r="A19" s="3">
        <f t="shared" ca="1" si="0"/>
        <v>17</v>
      </c>
      <c r="B19" s="3" t="s">
        <v>75</v>
      </c>
      <c r="C19" s="3" t="s">
        <v>76</v>
      </c>
      <c r="D19" s="3" t="s">
        <v>77</v>
      </c>
      <c r="E19" s="3" t="s">
        <v>78</v>
      </c>
      <c r="F19" s="4" t="s">
        <v>351</v>
      </c>
      <c r="G19" s="3" t="s">
        <v>79</v>
      </c>
      <c r="H19" s="4">
        <v>1</v>
      </c>
      <c r="I19" s="1"/>
      <c r="J19" s="1"/>
      <c r="K19" s="1"/>
    </row>
    <row r="20" spans="1:11" s="21" customFormat="1" x14ac:dyDescent="0.45">
      <c r="A20" s="18">
        <f t="shared" ca="1" si="0"/>
        <v>18</v>
      </c>
      <c r="B20" s="18" t="s">
        <v>80</v>
      </c>
      <c r="C20" s="18" t="s">
        <v>81</v>
      </c>
      <c r="D20" s="18" t="s">
        <v>82</v>
      </c>
      <c r="E20" s="18" t="s">
        <v>83</v>
      </c>
      <c r="F20" s="18"/>
      <c r="G20" s="19"/>
      <c r="H20" s="19">
        <v>3</v>
      </c>
      <c r="I20" s="20"/>
      <c r="J20" s="20"/>
      <c r="K20" s="20"/>
    </row>
    <row r="21" spans="1:11" s="21" customFormat="1" x14ac:dyDescent="0.45">
      <c r="A21" s="18">
        <f t="shared" ca="1" si="0"/>
        <v>19</v>
      </c>
      <c r="B21" s="18" t="s">
        <v>84</v>
      </c>
      <c r="C21" s="18" t="s">
        <v>85</v>
      </c>
      <c r="D21" s="18" t="s">
        <v>86</v>
      </c>
      <c r="E21" s="18" t="s">
        <v>87</v>
      </c>
      <c r="F21" s="18"/>
      <c r="G21" s="19"/>
      <c r="H21" s="19">
        <v>6</v>
      </c>
      <c r="I21" s="20"/>
      <c r="J21" s="20"/>
      <c r="K21" s="20"/>
    </row>
    <row r="22" spans="1:11" s="25" customFormat="1" x14ac:dyDescent="0.45">
      <c r="A22" s="22">
        <f t="shared" ca="1" si="0"/>
        <v>20</v>
      </c>
      <c r="B22" s="22" t="s">
        <v>88</v>
      </c>
      <c r="C22" s="22" t="s">
        <v>89</v>
      </c>
      <c r="D22" s="22" t="s">
        <v>90</v>
      </c>
      <c r="E22" s="22" t="s">
        <v>91</v>
      </c>
      <c r="F22" s="23" t="s">
        <v>351</v>
      </c>
      <c r="G22" s="22" t="s">
        <v>92</v>
      </c>
      <c r="H22" s="23">
        <v>1</v>
      </c>
      <c r="I22" s="24"/>
      <c r="J22" s="24"/>
      <c r="K22" s="24"/>
    </row>
    <row r="23" spans="1:11" s="25" customFormat="1" x14ac:dyDescent="0.45">
      <c r="A23" s="22">
        <f t="shared" ca="1" si="0"/>
        <v>21</v>
      </c>
      <c r="B23" s="22" t="s">
        <v>93</v>
      </c>
      <c r="C23" s="22" t="s">
        <v>94</v>
      </c>
      <c r="D23" s="22" t="s">
        <v>95</v>
      </c>
      <c r="E23" s="22" t="s">
        <v>96</v>
      </c>
      <c r="F23" s="22"/>
      <c r="G23" s="23"/>
      <c r="H23" s="23">
        <v>1</v>
      </c>
      <c r="I23" s="24"/>
      <c r="J23" s="24"/>
      <c r="K23" s="24"/>
    </row>
    <row r="24" spans="1:11" s="25" customFormat="1" x14ac:dyDescent="0.45">
      <c r="A24" s="22">
        <f t="shared" ca="1" si="0"/>
        <v>22</v>
      </c>
      <c r="B24" s="22" t="s">
        <v>97</v>
      </c>
      <c r="C24" s="22" t="s">
        <v>76</v>
      </c>
      <c r="D24" s="22" t="s">
        <v>98</v>
      </c>
      <c r="E24" s="22" t="s">
        <v>78</v>
      </c>
      <c r="F24" s="23" t="s">
        <v>351</v>
      </c>
      <c r="G24" s="22" t="s">
        <v>79</v>
      </c>
      <c r="H24" s="23">
        <v>1</v>
      </c>
      <c r="I24" s="24"/>
      <c r="J24" s="24"/>
      <c r="K24" s="24"/>
    </row>
    <row r="25" spans="1:11" s="25" customFormat="1" x14ac:dyDescent="0.45">
      <c r="A25" s="22">
        <f t="shared" ca="1" si="0"/>
        <v>23</v>
      </c>
      <c r="B25" s="22" t="s">
        <v>99</v>
      </c>
      <c r="C25" s="22" t="s">
        <v>76</v>
      </c>
      <c r="D25" s="22" t="s">
        <v>100</v>
      </c>
      <c r="E25" s="22" t="s">
        <v>78</v>
      </c>
      <c r="F25" s="23" t="s">
        <v>351</v>
      </c>
      <c r="G25" s="22" t="s">
        <v>79</v>
      </c>
      <c r="H25" s="23">
        <v>1</v>
      </c>
      <c r="I25" s="24"/>
      <c r="J25" s="24"/>
      <c r="K25" s="24"/>
    </row>
    <row r="26" spans="1:11" s="25" customFormat="1" x14ac:dyDescent="0.45">
      <c r="A26" s="22">
        <f t="shared" ca="1" si="0"/>
        <v>24</v>
      </c>
      <c r="B26" s="22" t="s">
        <v>101</v>
      </c>
      <c r="C26" s="22" t="s">
        <v>102</v>
      </c>
      <c r="D26" s="22" t="s">
        <v>103</v>
      </c>
      <c r="E26" s="22" t="s">
        <v>104</v>
      </c>
      <c r="F26" s="22" t="s">
        <v>350</v>
      </c>
      <c r="G26" s="22" t="s">
        <v>105</v>
      </c>
      <c r="H26" s="23">
        <v>6</v>
      </c>
      <c r="I26" s="24"/>
      <c r="J26" s="24"/>
      <c r="K26" s="24"/>
    </row>
    <row r="27" spans="1:11" s="25" customFormat="1" x14ac:dyDescent="0.45">
      <c r="A27" s="22">
        <f t="shared" ca="1" si="0"/>
        <v>25</v>
      </c>
      <c r="B27" s="22" t="s">
        <v>106</v>
      </c>
      <c r="C27" s="22" t="s">
        <v>107</v>
      </c>
      <c r="D27" s="22" t="s">
        <v>108</v>
      </c>
      <c r="E27" s="22" t="s">
        <v>109</v>
      </c>
      <c r="F27" s="22" t="s">
        <v>350</v>
      </c>
      <c r="G27" s="22" t="s">
        <v>110</v>
      </c>
      <c r="H27" s="23">
        <v>1</v>
      </c>
      <c r="I27" s="24"/>
      <c r="J27" s="24"/>
      <c r="K27" s="24"/>
    </row>
    <row r="28" spans="1:11" x14ac:dyDescent="0.45">
      <c r="A28" s="3">
        <f t="shared" ca="1" si="0"/>
        <v>26</v>
      </c>
      <c r="B28" s="3" t="s">
        <v>111</v>
      </c>
      <c r="C28" s="3" t="s">
        <v>112</v>
      </c>
      <c r="D28" s="3" t="s">
        <v>113</v>
      </c>
      <c r="E28" s="3" t="s">
        <v>114</v>
      </c>
      <c r="F28" s="3" t="s">
        <v>331</v>
      </c>
      <c r="G28" s="3" t="s">
        <v>116</v>
      </c>
      <c r="H28" s="4">
        <v>2</v>
      </c>
      <c r="I28" s="1"/>
      <c r="J28" s="1"/>
      <c r="K28" s="1"/>
    </row>
    <row r="29" spans="1:11" x14ac:dyDescent="0.45">
      <c r="A29" s="3">
        <f t="shared" ca="1" si="0"/>
        <v>27</v>
      </c>
      <c r="B29" s="3" t="s">
        <v>117</v>
      </c>
      <c r="C29" s="3" t="s">
        <v>118</v>
      </c>
      <c r="D29" s="3" t="s">
        <v>119</v>
      </c>
      <c r="E29" s="3" t="s">
        <v>120</v>
      </c>
      <c r="F29" s="3" t="s">
        <v>331</v>
      </c>
      <c r="G29" s="3" t="s">
        <v>121</v>
      </c>
      <c r="H29" s="4">
        <v>1</v>
      </c>
      <c r="I29" s="1"/>
      <c r="J29" s="1"/>
      <c r="K29" s="1"/>
    </row>
    <row r="30" spans="1:11" x14ac:dyDescent="0.45">
      <c r="A30" s="3">
        <f t="shared" ca="1" si="0"/>
        <v>28</v>
      </c>
      <c r="B30" s="3" t="s">
        <v>122</v>
      </c>
      <c r="C30" s="3" t="s">
        <v>123</v>
      </c>
      <c r="D30" s="3" t="s">
        <v>124</v>
      </c>
      <c r="E30" s="3" t="s">
        <v>125</v>
      </c>
      <c r="F30" s="17" t="s">
        <v>115</v>
      </c>
      <c r="G30" s="3" t="s">
        <v>126</v>
      </c>
      <c r="H30" s="4">
        <v>3</v>
      </c>
      <c r="I30" s="1"/>
      <c r="J30" s="1"/>
      <c r="K30" s="1"/>
    </row>
    <row r="31" spans="1:11" x14ac:dyDescent="0.45">
      <c r="A31" s="3">
        <f t="shared" ca="1" si="0"/>
        <v>29</v>
      </c>
      <c r="B31" s="3" t="s">
        <v>127</v>
      </c>
      <c r="C31" s="3" t="s">
        <v>128</v>
      </c>
      <c r="D31" s="3" t="s">
        <v>129</v>
      </c>
      <c r="E31" s="3" t="s">
        <v>130</v>
      </c>
      <c r="F31" s="4" t="s">
        <v>349</v>
      </c>
      <c r="G31" s="3" t="s">
        <v>131</v>
      </c>
      <c r="H31" s="4">
        <v>4</v>
      </c>
      <c r="I31" s="1"/>
      <c r="J31" s="1"/>
      <c r="K31" s="1"/>
    </row>
    <row r="32" spans="1:11" x14ac:dyDescent="0.45">
      <c r="A32" s="3">
        <f t="shared" ca="1" si="0"/>
        <v>30</v>
      </c>
      <c r="B32" s="3" t="s">
        <v>132</v>
      </c>
      <c r="C32" s="3" t="s">
        <v>133</v>
      </c>
      <c r="D32" s="3" t="s">
        <v>134</v>
      </c>
      <c r="E32" s="3" t="s">
        <v>130</v>
      </c>
      <c r="F32" s="4" t="s">
        <v>348</v>
      </c>
      <c r="G32" s="3" t="s">
        <v>132</v>
      </c>
      <c r="H32" s="4">
        <v>2</v>
      </c>
      <c r="I32" s="1"/>
      <c r="J32" s="1"/>
      <c r="K32" s="1"/>
    </row>
    <row r="33" spans="1:11" x14ac:dyDescent="0.45">
      <c r="A33" s="3">
        <f t="shared" ca="1" si="0"/>
        <v>31</v>
      </c>
      <c r="B33" s="3" t="s">
        <v>135</v>
      </c>
      <c r="C33" s="3" t="s">
        <v>136</v>
      </c>
      <c r="D33" s="3" t="s">
        <v>137</v>
      </c>
      <c r="E33" s="3" t="s">
        <v>138</v>
      </c>
      <c r="F33" s="4" t="s">
        <v>347</v>
      </c>
      <c r="G33" s="3" t="s">
        <v>135</v>
      </c>
      <c r="H33" s="4">
        <v>3</v>
      </c>
      <c r="I33" s="1"/>
      <c r="J33" s="1"/>
      <c r="K33" s="1"/>
    </row>
    <row r="34" spans="1:11" x14ac:dyDescent="0.45">
      <c r="A34" s="3">
        <f t="shared" ca="1" si="0"/>
        <v>32</v>
      </c>
      <c r="B34" s="3" t="s">
        <v>139</v>
      </c>
      <c r="C34" s="3" t="s">
        <v>140</v>
      </c>
      <c r="D34" s="3" t="s">
        <v>141</v>
      </c>
      <c r="E34" s="3" t="s">
        <v>142</v>
      </c>
      <c r="F34" s="4" t="s">
        <v>347</v>
      </c>
      <c r="G34" s="3" t="s">
        <v>139</v>
      </c>
      <c r="H34" s="4">
        <v>2</v>
      </c>
      <c r="I34" s="1"/>
      <c r="J34" s="1"/>
      <c r="K34" s="1"/>
    </row>
    <row r="35" spans="1:11" x14ac:dyDescent="0.45">
      <c r="A35" s="3">
        <f t="shared" ca="1" si="0"/>
        <v>33</v>
      </c>
      <c r="B35" s="3" t="s">
        <v>143</v>
      </c>
      <c r="C35" s="3" t="s">
        <v>144</v>
      </c>
      <c r="D35" s="3" t="s">
        <v>145</v>
      </c>
      <c r="E35" s="3" t="s">
        <v>146</v>
      </c>
      <c r="F35" s="4" t="s">
        <v>347</v>
      </c>
      <c r="G35" s="3" t="s">
        <v>143</v>
      </c>
      <c r="H35" s="4">
        <v>2</v>
      </c>
      <c r="I35" s="1"/>
      <c r="J35" s="1"/>
      <c r="K35" s="1"/>
    </row>
    <row r="36" spans="1:11" x14ac:dyDescent="0.45">
      <c r="A36" s="3">
        <f t="shared" ca="1" si="0"/>
        <v>34</v>
      </c>
      <c r="B36" s="3" t="s">
        <v>147</v>
      </c>
      <c r="C36" s="3" t="s">
        <v>148</v>
      </c>
      <c r="D36" s="3" t="s">
        <v>149</v>
      </c>
      <c r="E36" s="3" t="s">
        <v>138</v>
      </c>
      <c r="F36" s="4" t="s">
        <v>347</v>
      </c>
      <c r="G36" s="4" t="s">
        <v>147</v>
      </c>
      <c r="H36" s="4">
        <v>1</v>
      </c>
      <c r="I36" s="1"/>
      <c r="J36" s="1"/>
      <c r="K36" s="1"/>
    </row>
    <row r="37" spans="1:11" x14ac:dyDescent="0.45">
      <c r="A37" s="3">
        <f t="shared" ca="1" si="0"/>
        <v>35</v>
      </c>
      <c r="B37" s="3" t="s">
        <v>150</v>
      </c>
      <c r="C37" s="3" t="s">
        <v>151</v>
      </c>
      <c r="D37" s="3" t="s">
        <v>152</v>
      </c>
      <c r="E37" s="3" t="s">
        <v>153</v>
      </c>
      <c r="F37" s="3" t="s">
        <v>328</v>
      </c>
      <c r="G37" s="3" t="s">
        <v>154</v>
      </c>
      <c r="H37" s="4">
        <v>6</v>
      </c>
      <c r="I37" s="1"/>
      <c r="J37" s="1"/>
      <c r="K37" s="1"/>
    </row>
    <row r="38" spans="1:11" x14ac:dyDescent="0.45">
      <c r="A38" s="3">
        <f t="shared" ca="1" si="0"/>
        <v>36</v>
      </c>
      <c r="B38" s="3" t="s">
        <v>155</v>
      </c>
      <c r="C38" s="3" t="s">
        <v>157</v>
      </c>
      <c r="D38" s="3" t="s">
        <v>334</v>
      </c>
      <c r="E38" s="3" t="s">
        <v>156</v>
      </c>
      <c r="F38" s="3" t="s">
        <v>335</v>
      </c>
      <c r="G38" s="3" t="s">
        <v>158</v>
      </c>
      <c r="H38" s="4">
        <v>2</v>
      </c>
      <c r="I38" s="1"/>
      <c r="J38" s="1"/>
      <c r="K38" s="1"/>
    </row>
    <row r="39" spans="1:11" x14ac:dyDescent="0.45">
      <c r="A39" s="3">
        <f t="shared" ca="1" si="0"/>
        <v>37</v>
      </c>
      <c r="B39" s="3" t="s">
        <v>159</v>
      </c>
      <c r="C39" s="3" t="s">
        <v>160</v>
      </c>
      <c r="D39" s="3" t="s">
        <v>161</v>
      </c>
      <c r="E39" s="3" t="s">
        <v>156</v>
      </c>
      <c r="F39" s="3" t="s">
        <v>336</v>
      </c>
      <c r="G39" s="3" t="s">
        <v>162</v>
      </c>
      <c r="H39" s="4">
        <v>4</v>
      </c>
      <c r="I39" s="1"/>
      <c r="J39" s="1"/>
      <c r="K39" s="1"/>
    </row>
    <row r="40" spans="1:11" x14ac:dyDescent="0.45">
      <c r="A40" s="3">
        <f t="shared" ca="1" si="0"/>
        <v>38</v>
      </c>
      <c r="B40" s="3" t="s">
        <v>163</v>
      </c>
      <c r="C40" s="3" t="s">
        <v>164</v>
      </c>
      <c r="D40" s="3" t="s">
        <v>165</v>
      </c>
      <c r="E40" s="3" t="s">
        <v>153</v>
      </c>
      <c r="F40" s="3" t="s">
        <v>328</v>
      </c>
      <c r="G40" s="3" t="s">
        <v>166</v>
      </c>
      <c r="H40" s="4">
        <v>11</v>
      </c>
      <c r="I40" s="1"/>
      <c r="J40" s="1"/>
      <c r="K40" s="1"/>
    </row>
    <row r="41" spans="1:11" x14ac:dyDescent="0.45">
      <c r="A41" s="3">
        <f t="shared" ca="1" si="0"/>
        <v>39</v>
      </c>
      <c r="B41" s="3" t="s">
        <v>167</v>
      </c>
      <c r="C41" s="3" t="s">
        <v>168</v>
      </c>
      <c r="D41" s="3" t="s">
        <v>169</v>
      </c>
      <c r="E41" s="3" t="s">
        <v>153</v>
      </c>
      <c r="F41" s="3" t="s">
        <v>330</v>
      </c>
      <c r="G41" s="3" t="s">
        <v>170</v>
      </c>
      <c r="H41" s="4">
        <v>10</v>
      </c>
      <c r="I41" s="1"/>
      <c r="J41" s="1"/>
      <c r="K41" s="1"/>
    </row>
    <row r="42" spans="1:11" x14ac:dyDescent="0.45">
      <c r="A42" s="3">
        <f t="shared" ca="1" si="0"/>
        <v>40</v>
      </c>
      <c r="B42" s="3" t="s">
        <v>171</v>
      </c>
      <c r="C42" s="3" t="s">
        <v>172</v>
      </c>
      <c r="D42" s="3" t="s">
        <v>173</v>
      </c>
      <c r="E42" s="3" t="s">
        <v>174</v>
      </c>
      <c r="F42" s="3" t="s">
        <v>331</v>
      </c>
      <c r="G42" s="3" t="s">
        <v>175</v>
      </c>
      <c r="H42" s="4">
        <v>6</v>
      </c>
      <c r="I42" s="1"/>
      <c r="J42" s="1"/>
      <c r="K42" s="1"/>
    </row>
    <row r="43" spans="1:11" x14ac:dyDescent="0.45">
      <c r="A43" s="3">
        <f t="shared" ca="1" si="0"/>
        <v>41</v>
      </c>
      <c r="B43" s="3" t="s">
        <v>176</v>
      </c>
      <c r="C43" s="3" t="s">
        <v>177</v>
      </c>
      <c r="D43" s="3" t="s">
        <v>178</v>
      </c>
      <c r="E43" s="3" t="s">
        <v>153</v>
      </c>
      <c r="F43" s="3" t="s">
        <v>328</v>
      </c>
      <c r="G43" s="3" t="s">
        <v>179</v>
      </c>
      <c r="H43" s="4">
        <v>40</v>
      </c>
      <c r="I43" s="1"/>
      <c r="J43" s="1"/>
      <c r="K43" s="1"/>
    </row>
    <row r="44" spans="1:11" x14ac:dyDescent="0.45">
      <c r="A44" s="3">
        <f t="shared" ca="1" si="0"/>
        <v>42</v>
      </c>
      <c r="B44" s="3" t="s">
        <v>180</v>
      </c>
      <c r="C44" s="3" t="s">
        <v>181</v>
      </c>
      <c r="D44" s="3" t="s">
        <v>182</v>
      </c>
      <c r="E44" s="3" t="s">
        <v>153</v>
      </c>
      <c r="F44" s="3" t="s">
        <v>328</v>
      </c>
      <c r="G44" s="3" t="s">
        <v>183</v>
      </c>
      <c r="H44" s="4">
        <v>6</v>
      </c>
      <c r="I44" s="1"/>
      <c r="J44" s="1"/>
      <c r="K44" s="1"/>
    </row>
    <row r="45" spans="1:11" x14ac:dyDescent="0.45">
      <c r="A45" s="3">
        <f t="shared" ca="1" si="0"/>
        <v>43</v>
      </c>
      <c r="B45" s="3" t="s">
        <v>184</v>
      </c>
      <c r="C45" s="3" t="s">
        <v>185</v>
      </c>
      <c r="D45" s="3" t="s">
        <v>186</v>
      </c>
      <c r="E45" s="3" t="s">
        <v>153</v>
      </c>
      <c r="F45" s="3" t="s">
        <v>328</v>
      </c>
      <c r="G45" s="3" t="s">
        <v>187</v>
      </c>
      <c r="H45" s="4">
        <v>3</v>
      </c>
      <c r="I45" s="1"/>
      <c r="J45" s="1"/>
      <c r="K45" s="1"/>
    </row>
    <row r="46" spans="1:11" x14ac:dyDescent="0.45">
      <c r="A46" s="3">
        <f t="shared" ca="1" si="0"/>
        <v>44</v>
      </c>
      <c r="B46" s="3" t="s">
        <v>188</v>
      </c>
      <c r="C46" s="3" t="s">
        <v>189</v>
      </c>
      <c r="D46" s="3" t="s">
        <v>190</v>
      </c>
      <c r="E46" s="3" t="s">
        <v>153</v>
      </c>
      <c r="F46" s="3" t="s">
        <v>328</v>
      </c>
      <c r="G46" s="3" t="s">
        <v>191</v>
      </c>
      <c r="H46" s="4">
        <v>2</v>
      </c>
      <c r="I46" s="1"/>
      <c r="J46" s="1"/>
      <c r="K46" s="1"/>
    </row>
    <row r="47" spans="1:11" x14ac:dyDescent="0.45">
      <c r="A47" s="3">
        <f t="shared" ca="1" si="0"/>
        <v>45</v>
      </c>
      <c r="B47" s="3" t="s">
        <v>192</v>
      </c>
      <c r="C47" s="3" t="s">
        <v>193</v>
      </c>
      <c r="D47" s="3" t="s">
        <v>194</v>
      </c>
      <c r="E47" s="3" t="s">
        <v>153</v>
      </c>
      <c r="F47" s="3" t="s">
        <v>328</v>
      </c>
      <c r="G47" s="3" t="s">
        <v>195</v>
      </c>
      <c r="H47" s="4">
        <v>30</v>
      </c>
      <c r="I47" s="1"/>
      <c r="J47" s="1"/>
      <c r="K47" s="1"/>
    </row>
    <row r="48" spans="1:11" x14ac:dyDescent="0.45">
      <c r="A48" s="3">
        <f t="shared" ca="1" si="0"/>
        <v>46</v>
      </c>
      <c r="B48" s="3" t="s">
        <v>196</v>
      </c>
      <c r="C48" s="3" t="s">
        <v>197</v>
      </c>
      <c r="D48" s="3" t="s">
        <v>198</v>
      </c>
      <c r="E48" s="3" t="s">
        <v>156</v>
      </c>
      <c r="F48" s="3" t="s">
        <v>332</v>
      </c>
      <c r="G48" s="3" t="s">
        <v>199</v>
      </c>
      <c r="H48" s="4">
        <v>3</v>
      </c>
      <c r="I48" s="1"/>
      <c r="J48" s="1"/>
      <c r="K48" s="1"/>
    </row>
    <row r="49" spans="1:11" x14ac:dyDescent="0.45">
      <c r="A49" s="3">
        <f t="shared" ca="1" si="0"/>
        <v>47</v>
      </c>
      <c r="B49" s="3" t="s">
        <v>200</v>
      </c>
      <c r="C49" s="3" t="s">
        <v>201</v>
      </c>
      <c r="D49" s="3" t="s">
        <v>202</v>
      </c>
      <c r="E49" s="3" t="s">
        <v>174</v>
      </c>
      <c r="F49" s="3" t="s">
        <v>331</v>
      </c>
      <c r="G49" s="3" t="s">
        <v>203</v>
      </c>
      <c r="H49" s="4">
        <v>2</v>
      </c>
      <c r="I49" s="1"/>
      <c r="J49" s="1"/>
      <c r="K49" s="1"/>
    </row>
    <row r="50" spans="1:11" x14ac:dyDescent="0.45">
      <c r="A50" s="3">
        <f t="shared" ca="1" si="0"/>
        <v>48</v>
      </c>
      <c r="B50" s="3" t="s">
        <v>204</v>
      </c>
      <c r="C50" s="3" t="s">
        <v>205</v>
      </c>
      <c r="D50" s="3" t="s">
        <v>206</v>
      </c>
      <c r="E50" s="3" t="s">
        <v>153</v>
      </c>
      <c r="F50" s="3" t="s">
        <v>328</v>
      </c>
      <c r="G50" s="3" t="s">
        <v>207</v>
      </c>
      <c r="H50" s="4">
        <v>1</v>
      </c>
      <c r="I50" s="1"/>
      <c r="J50" s="1"/>
      <c r="K50" s="1"/>
    </row>
    <row r="51" spans="1:11" x14ac:dyDescent="0.45">
      <c r="A51" s="3">
        <f t="shared" ca="1" si="0"/>
        <v>49</v>
      </c>
      <c r="B51" s="3" t="s">
        <v>208</v>
      </c>
      <c r="C51" s="3" t="s">
        <v>209</v>
      </c>
      <c r="D51" s="3" t="s">
        <v>210</v>
      </c>
      <c r="E51" s="3" t="s">
        <v>153</v>
      </c>
      <c r="F51" s="3" t="s">
        <v>328</v>
      </c>
      <c r="G51" s="3" t="s">
        <v>211</v>
      </c>
      <c r="H51" s="4">
        <v>4</v>
      </c>
      <c r="I51" s="1"/>
      <c r="J51" s="1"/>
      <c r="K51" s="1"/>
    </row>
    <row r="52" spans="1:11" x14ac:dyDescent="0.45">
      <c r="A52" s="3">
        <f t="shared" ca="1" si="0"/>
        <v>50</v>
      </c>
      <c r="B52" s="3" t="s">
        <v>212</v>
      </c>
      <c r="C52" s="3" t="s">
        <v>213</v>
      </c>
      <c r="D52" s="3" t="s">
        <v>214</v>
      </c>
      <c r="E52" s="3" t="s">
        <v>153</v>
      </c>
      <c r="F52" s="3" t="s">
        <v>328</v>
      </c>
      <c r="G52" s="3" t="s">
        <v>215</v>
      </c>
      <c r="H52" s="4">
        <v>2</v>
      </c>
      <c r="I52" s="1"/>
      <c r="J52" s="1"/>
      <c r="K52" s="1"/>
    </row>
    <row r="53" spans="1:11" x14ac:dyDescent="0.45">
      <c r="A53" s="3">
        <f t="shared" ca="1" si="0"/>
        <v>51</v>
      </c>
      <c r="B53" s="3" t="s">
        <v>216</v>
      </c>
      <c r="C53" s="3" t="s">
        <v>217</v>
      </c>
      <c r="D53" s="3" t="s">
        <v>218</v>
      </c>
      <c r="E53" s="3" t="s">
        <v>153</v>
      </c>
      <c r="F53" s="3" t="s">
        <v>328</v>
      </c>
      <c r="G53" s="3" t="s">
        <v>219</v>
      </c>
      <c r="H53" s="4">
        <v>1</v>
      </c>
      <c r="I53" s="1"/>
      <c r="J53" s="1"/>
      <c r="K53" s="1"/>
    </row>
    <row r="54" spans="1:11" s="12" customFormat="1" x14ac:dyDescent="0.45">
      <c r="A54" s="3">
        <f t="shared" ca="1" si="0"/>
        <v>52</v>
      </c>
      <c r="B54" s="9" t="s">
        <v>220</v>
      </c>
      <c r="C54" s="9" t="s">
        <v>221</v>
      </c>
      <c r="D54" s="9" t="s">
        <v>222</v>
      </c>
      <c r="E54" s="9" t="s">
        <v>223</v>
      </c>
      <c r="F54" s="9"/>
      <c r="G54" s="9" t="s">
        <v>221</v>
      </c>
      <c r="H54" s="10">
        <v>8</v>
      </c>
      <c r="I54" s="11"/>
      <c r="J54" s="11"/>
      <c r="K54" s="11"/>
    </row>
    <row r="55" spans="1:11" x14ac:dyDescent="0.45">
      <c r="A55" s="3">
        <f t="shared" ca="1" si="0"/>
        <v>53</v>
      </c>
      <c r="B55" s="3" t="s">
        <v>224</v>
      </c>
      <c r="C55" s="3" t="s">
        <v>225</v>
      </c>
      <c r="D55" s="3" t="s">
        <v>226</v>
      </c>
      <c r="E55" s="3" t="s">
        <v>153</v>
      </c>
      <c r="F55" s="3" t="s">
        <v>330</v>
      </c>
      <c r="G55" s="3" t="s">
        <v>227</v>
      </c>
      <c r="H55" s="4">
        <v>3</v>
      </c>
      <c r="I55" s="1"/>
      <c r="J55" s="1"/>
      <c r="K55" s="1"/>
    </row>
    <row r="56" spans="1:11" x14ac:dyDescent="0.45">
      <c r="A56" s="3">
        <f t="shared" ca="1" si="0"/>
        <v>54</v>
      </c>
      <c r="B56" s="3" t="s">
        <v>228</v>
      </c>
      <c r="C56" s="3" t="s">
        <v>229</v>
      </c>
      <c r="D56" s="3" t="s">
        <v>230</v>
      </c>
      <c r="E56" s="3" t="s">
        <v>153</v>
      </c>
      <c r="F56" s="3" t="s">
        <v>330</v>
      </c>
      <c r="G56" s="3" t="s">
        <v>231</v>
      </c>
      <c r="H56" s="4">
        <v>1</v>
      </c>
      <c r="I56" s="1"/>
      <c r="J56" s="1"/>
      <c r="K56" s="1"/>
    </row>
    <row r="57" spans="1:11" x14ac:dyDescent="0.45">
      <c r="A57" s="3">
        <f t="shared" ca="1" si="0"/>
        <v>55</v>
      </c>
      <c r="B57" s="3" t="s">
        <v>232</v>
      </c>
      <c r="C57" s="3" t="s">
        <v>233</v>
      </c>
      <c r="D57" s="3" t="s">
        <v>234</v>
      </c>
      <c r="E57" s="3" t="s">
        <v>153</v>
      </c>
      <c r="F57" s="3" t="s">
        <v>329</v>
      </c>
      <c r="G57" s="3" t="s">
        <v>235</v>
      </c>
      <c r="H57" s="4">
        <v>1</v>
      </c>
      <c r="I57" s="1"/>
      <c r="J57" s="1"/>
      <c r="K57" s="1"/>
    </row>
    <row r="58" spans="1:11" s="12" customFormat="1" x14ac:dyDescent="0.45">
      <c r="A58" s="3">
        <f t="shared" ca="1" si="0"/>
        <v>56</v>
      </c>
      <c r="B58" s="9" t="s">
        <v>236</v>
      </c>
      <c r="C58" s="9" t="s">
        <v>237</v>
      </c>
      <c r="D58" s="9" t="s">
        <v>238</v>
      </c>
      <c r="E58" s="9" t="s">
        <v>236</v>
      </c>
      <c r="F58" s="10"/>
      <c r="G58" s="9" t="s">
        <v>239</v>
      </c>
      <c r="H58" s="10">
        <v>2</v>
      </c>
      <c r="I58" s="11"/>
      <c r="J58" s="11"/>
      <c r="K58" s="11"/>
    </row>
    <row r="59" spans="1:11" x14ac:dyDescent="0.45">
      <c r="A59" s="3">
        <f t="shared" ca="1" si="0"/>
        <v>57</v>
      </c>
      <c r="B59" s="3" t="s">
        <v>240</v>
      </c>
      <c r="C59" s="3" t="s">
        <v>241</v>
      </c>
      <c r="D59" s="3" t="s">
        <v>242</v>
      </c>
      <c r="E59" s="3" t="s">
        <v>240</v>
      </c>
      <c r="F59" s="3" t="s">
        <v>243</v>
      </c>
      <c r="G59" s="3" t="s">
        <v>240</v>
      </c>
      <c r="H59" s="4">
        <v>2</v>
      </c>
      <c r="I59" s="1"/>
      <c r="J59" s="1"/>
      <c r="K59" s="1"/>
    </row>
    <row r="60" spans="1:11" x14ac:dyDescent="0.45">
      <c r="A60" s="3">
        <f t="shared" ca="1" si="0"/>
        <v>58</v>
      </c>
      <c r="B60" s="3" t="s">
        <v>244</v>
      </c>
      <c r="C60" s="3" t="s">
        <v>245</v>
      </c>
      <c r="D60" s="3" t="s">
        <v>246</v>
      </c>
      <c r="E60" s="3" t="s">
        <v>247</v>
      </c>
      <c r="F60" s="4" t="s">
        <v>337</v>
      </c>
      <c r="G60" s="3" t="s">
        <v>248</v>
      </c>
      <c r="H60" s="4">
        <v>1</v>
      </c>
      <c r="I60" s="1"/>
      <c r="J60" s="1"/>
      <c r="K60" s="1"/>
    </row>
    <row r="61" spans="1:11" x14ac:dyDescent="0.45">
      <c r="A61" s="3">
        <f t="shared" ca="1" si="0"/>
        <v>59</v>
      </c>
      <c r="B61" s="3" t="s">
        <v>249</v>
      </c>
      <c r="C61" s="3" t="s">
        <v>250</v>
      </c>
      <c r="D61" s="3" t="s">
        <v>251</v>
      </c>
      <c r="E61" s="3" t="s">
        <v>252</v>
      </c>
      <c r="F61" s="4" t="s">
        <v>243</v>
      </c>
      <c r="G61" s="3" t="s">
        <v>249</v>
      </c>
      <c r="H61" s="4">
        <v>2</v>
      </c>
      <c r="I61" s="1"/>
      <c r="J61" s="1"/>
      <c r="K61" s="1"/>
    </row>
    <row r="62" spans="1:11" x14ac:dyDescent="0.45">
      <c r="A62" s="3">
        <f t="shared" ca="1" si="0"/>
        <v>60</v>
      </c>
      <c r="B62" s="3" t="s">
        <v>253</v>
      </c>
      <c r="C62" s="3" t="s">
        <v>254</v>
      </c>
      <c r="D62" s="3" t="s">
        <v>255</v>
      </c>
      <c r="E62" s="3" t="s">
        <v>256</v>
      </c>
      <c r="F62" s="4" t="s">
        <v>338</v>
      </c>
      <c r="G62" s="3" t="s">
        <v>253</v>
      </c>
      <c r="H62" s="4">
        <v>1</v>
      </c>
      <c r="I62" s="1"/>
      <c r="J62" s="1"/>
      <c r="K62" s="1"/>
    </row>
    <row r="63" spans="1:11" x14ac:dyDescent="0.45">
      <c r="A63" s="3">
        <f t="shared" ca="1" si="0"/>
        <v>61</v>
      </c>
      <c r="B63" s="3" t="s">
        <v>257</v>
      </c>
      <c r="C63" s="3" t="s">
        <v>258</v>
      </c>
      <c r="D63" s="3" t="s">
        <v>259</v>
      </c>
      <c r="E63" s="3" t="s">
        <v>260</v>
      </c>
      <c r="F63" s="4" t="s">
        <v>243</v>
      </c>
      <c r="G63" s="3" t="s">
        <v>261</v>
      </c>
      <c r="H63" s="4">
        <v>1</v>
      </c>
      <c r="I63" s="1"/>
      <c r="J63" s="1"/>
      <c r="K63" s="1"/>
    </row>
    <row r="64" spans="1:11" x14ac:dyDescent="0.45">
      <c r="A64" s="3">
        <f t="shared" ca="1" si="0"/>
        <v>62</v>
      </c>
      <c r="B64" s="3" t="s">
        <v>262</v>
      </c>
      <c r="C64" s="3" t="s">
        <v>263</v>
      </c>
      <c r="D64" s="3" t="s">
        <v>264</v>
      </c>
      <c r="E64" s="3" t="s">
        <v>265</v>
      </c>
      <c r="F64" s="4" t="s">
        <v>343</v>
      </c>
      <c r="G64" s="3" t="s">
        <v>266</v>
      </c>
      <c r="H64" s="4">
        <v>2</v>
      </c>
      <c r="I64" s="1"/>
      <c r="J64" s="1"/>
      <c r="K64" s="1"/>
    </row>
    <row r="65" spans="1:11" x14ac:dyDescent="0.45">
      <c r="A65" s="3">
        <f t="shared" ca="1" si="0"/>
        <v>63</v>
      </c>
      <c r="B65" s="3" t="s">
        <v>267</v>
      </c>
      <c r="C65" s="3" t="s">
        <v>268</v>
      </c>
      <c r="D65" s="3" t="s">
        <v>269</v>
      </c>
      <c r="E65" s="3" t="s">
        <v>270</v>
      </c>
      <c r="F65" s="4" t="s">
        <v>337</v>
      </c>
      <c r="G65" s="3" t="s">
        <v>271</v>
      </c>
      <c r="H65" s="4">
        <v>2</v>
      </c>
      <c r="I65" s="1"/>
      <c r="J65" s="1"/>
      <c r="K65" s="1"/>
    </row>
    <row r="66" spans="1:11" x14ac:dyDescent="0.45">
      <c r="A66" s="3">
        <f t="shared" ca="1" si="0"/>
        <v>64</v>
      </c>
      <c r="B66" s="3" t="s">
        <v>272</v>
      </c>
      <c r="C66" s="3" t="s">
        <v>273</v>
      </c>
      <c r="D66" s="3" t="s">
        <v>274</v>
      </c>
      <c r="E66" s="3" t="s">
        <v>275</v>
      </c>
      <c r="F66" s="4" t="s">
        <v>243</v>
      </c>
      <c r="G66" s="3" t="s">
        <v>272</v>
      </c>
      <c r="H66" s="4">
        <v>1</v>
      </c>
      <c r="I66" s="1"/>
      <c r="J66" s="1"/>
      <c r="K66" s="1"/>
    </row>
    <row r="67" spans="1:11" x14ac:dyDescent="0.45">
      <c r="A67" s="3">
        <f t="shared" ca="1" si="0"/>
        <v>65</v>
      </c>
      <c r="B67" s="3" t="s">
        <v>276</v>
      </c>
      <c r="C67" s="3" t="s">
        <v>277</v>
      </c>
      <c r="D67" s="3" t="s">
        <v>278</v>
      </c>
      <c r="E67" s="3" t="s">
        <v>279</v>
      </c>
      <c r="F67" s="4" t="s">
        <v>346</v>
      </c>
      <c r="G67" s="3" t="s">
        <v>276</v>
      </c>
      <c r="H67" s="4">
        <v>2</v>
      </c>
      <c r="I67" s="1"/>
      <c r="J67" s="1"/>
      <c r="K67" s="1"/>
    </row>
    <row r="68" spans="1:11" x14ac:dyDescent="0.45">
      <c r="A68" s="3">
        <f t="shared" ca="1" si="0"/>
        <v>66</v>
      </c>
      <c r="B68" s="3" t="s">
        <v>280</v>
      </c>
      <c r="C68" s="3" t="s">
        <v>281</v>
      </c>
      <c r="D68" s="3" t="s">
        <v>282</v>
      </c>
      <c r="E68" s="3" t="s">
        <v>283</v>
      </c>
      <c r="F68" s="4" t="s">
        <v>342</v>
      </c>
      <c r="G68" s="3" t="s">
        <v>284</v>
      </c>
      <c r="H68" s="4">
        <v>1</v>
      </c>
      <c r="I68" s="1"/>
      <c r="J68" s="1"/>
      <c r="K68" s="1"/>
    </row>
    <row r="69" spans="1:11" s="16" customFormat="1" x14ac:dyDescent="0.45">
      <c r="A69" s="13">
        <f t="shared" ref="A69:A77" ca="1" si="1">A68+1</f>
        <v>67</v>
      </c>
      <c r="B69" s="13" t="s">
        <v>341</v>
      </c>
      <c r="C69" s="13" t="s">
        <v>340</v>
      </c>
      <c r="D69" s="13" t="s">
        <v>285</v>
      </c>
      <c r="E69" s="13" t="s">
        <v>286</v>
      </c>
      <c r="F69" s="14" t="s">
        <v>342</v>
      </c>
      <c r="G69" s="13" t="s">
        <v>341</v>
      </c>
      <c r="H69" s="14">
        <v>1</v>
      </c>
      <c r="I69" s="15"/>
      <c r="J69" s="15"/>
      <c r="K69" s="15"/>
    </row>
    <row r="70" spans="1:11" x14ac:dyDescent="0.45">
      <c r="A70" s="3">
        <f t="shared" ca="1" si="1"/>
        <v>68</v>
      </c>
      <c r="B70" s="3" t="s">
        <v>287</v>
      </c>
      <c r="C70" s="3" t="s">
        <v>288</v>
      </c>
      <c r="D70" s="3" t="s">
        <v>289</v>
      </c>
      <c r="E70" s="3" t="s">
        <v>290</v>
      </c>
      <c r="F70" s="4" t="s">
        <v>243</v>
      </c>
      <c r="G70" s="3" t="s">
        <v>287</v>
      </c>
      <c r="H70" s="4">
        <v>2</v>
      </c>
      <c r="I70" s="1"/>
      <c r="J70" s="1"/>
      <c r="K70" s="1"/>
    </row>
    <row r="71" spans="1:11" x14ac:dyDescent="0.45">
      <c r="A71" s="3">
        <f t="shared" ca="1" si="1"/>
        <v>69</v>
      </c>
      <c r="B71" s="3" t="s">
        <v>291</v>
      </c>
      <c r="C71" s="3" t="s">
        <v>292</v>
      </c>
      <c r="D71" s="3" t="s">
        <v>293</v>
      </c>
      <c r="E71" s="3" t="s">
        <v>294</v>
      </c>
      <c r="F71" s="4" t="s">
        <v>345</v>
      </c>
      <c r="G71" s="3" t="s">
        <v>291</v>
      </c>
      <c r="H71" s="4">
        <v>2</v>
      </c>
      <c r="I71" s="1"/>
      <c r="J71" s="1"/>
      <c r="K71" s="1"/>
    </row>
    <row r="72" spans="1:11" s="25" customFormat="1" x14ac:dyDescent="0.45">
      <c r="A72" s="22">
        <f t="shared" ca="1" si="1"/>
        <v>70</v>
      </c>
      <c r="B72" s="22" t="s">
        <v>295</v>
      </c>
      <c r="C72" s="22" t="s">
        <v>7</v>
      </c>
      <c r="D72" s="22" t="s">
        <v>296</v>
      </c>
      <c r="E72" s="22" t="s">
        <v>297</v>
      </c>
      <c r="F72" s="23"/>
      <c r="G72" s="23"/>
      <c r="H72" s="23">
        <v>1</v>
      </c>
      <c r="I72" s="24"/>
      <c r="J72" s="24"/>
      <c r="K72" s="24"/>
    </row>
    <row r="73" spans="1:11" x14ac:dyDescent="0.45">
      <c r="A73" s="3">
        <f t="shared" ca="1" si="1"/>
        <v>71</v>
      </c>
      <c r="B73" s="3" t="s">
        <v>298</v>
      </c>
      <c r="C73" s="3" t="s">
        <v>299</v>
      </c>
      <c r="D73" s="3" t="s">
        <v>300</v>
      </c>
      <c r="E73" s="3" t="s">
        <v>270</v>
      </c>
      <c r="F73" s="4" t="s">
        <v>337</v>
      </c>
      <c r="G73" s="3" t="s">
        <v>301</v>
      </c>
      <c r="H73" s="4">
        <v>1</v>
      </c>
      <c r="I73" s="1"/>
      <c r="J73" s="1"/>
      <c r="K73" s="1"/>
    </row>
    <row r="74" spans="1:11" x14ac:dyDescent="0.45">
      <c r="A74" s="3">
        <f t="shared" ca="1" si="1"/>
        <v>72</v>
      </c>
      <c r="B74" s="3" t="s">
        <v>302</v>
      </c>
      <c r="C74" s="3" t="s">
        <v>303</v>
      </c>
      <c r="D74" s="3" t="s">
        <v>304</v>
      </c>
      <c r="E74" s="3" t="s">
        <v>305</v>
      </c>
      <c r="F74" s="4" t="s">
        <v>337</v>
      </c>
      <c r="G74" s="3" t="s">
        <v>302</v>
      </c>
      <c r="H74" s="4">
        <v>1</v>
      </c>
      <c r="I74" s="1"/>
      <c r="J74" s="1"/>
      <c r="K74" s="1"/>
    </row>
    <row r="75" spans="1:11" x14ac:dyDescent="0.45">
      <c r="A75" s="3">
        <f t="shared" ca="1" si="1"/>
        <v>73</v>
      </c>
      <c r="B75" s="3" t="s">
        <v>306</v>
      </c>
      <c r="C75" s="3" t="s">
        <v>307</v>
      </c>
      <c r="D75" s="3" t="s">
        <v>308</v>
      </c>
      <c r="E75" s="3" t="s">
        <v>309</v>
      </c>
      <c r="F75" s="4" t="s">
        <v>243</v>
      </c>
      <c r="G75" s="3" t="s">
        <v>310</v>
      </c>
      <c r="H75" s="4">
        <v>1</v>
      </c>
      <c r="I75" s="1"/>
      <c r="J75" s="1"/>
      <c r="K75" s="1"/>
    </row>
    <row r="76" spans="1:11" x14ac:dyDescent="0.45">
      <c r="A76" s="3">
        <f t="shared" ca="1" si="1"/>
        <v>74</v>
      </c>
      <c r="B76" s="3" t="s">
        <v>311</v>
      </c>
      <c r="C76" s="3" t="s">
        <v>312</v>
      </c>
      <c r="D76" s="3" t="s">
        <v>313</v>
      </c>
      <c r="E76" s="3" t="s">
        <v>311</v>
      </c>
      <c r="F76" s="4" t="s">
        <v>342</v>
      </c>
      <c r="G76" s="3" t="s">
        <v>314</v>
      </c>
      <c r="H76" s="4">
        <v>1</v>
      </c>
      <c r="I76" s="1"/>
      <c r="J76" s="1"/>
      <c r="K76" s="1"/>
    </row>
    <row r="77" spans="1:11" x14ac:dyDescent="0.45">
      <c r="A77" s="3">
        <f t="shared" ca="1" si="1"/>
        <v>75</v>
      </c>
      <c r="B77" s="3" t="s">
        <v>315</v>
      </c>
      <c r="C77" s="3" t="s">
        <v>316</v>
      </c>
      <c r="D77" s="3" t="s">
        <v>317</v>
      </c>
      <c r="E77" s="3" t="s">
        <v>318</v>
      </c>
      <c r="F77" s="4" t="s">
        <v>344</v>
      </c>
      <c r="G77" s="3" t="s">
        <v>319</v>
      </c>
      <c r="H77" s="4">
        <v>1</v>
      </c>
      <c r="I77" s="1"/>
      <c r="J77" s="1"/>
      <c r="K77" s="1"/>
    </row>
    <row r="80" spans="1:11" x14ac:dyDescent="0.45">
      <c r="B80" s="25"/>
      <c r="C80" s="26" t="s">
        <v>358</v>
      </c>
    </row>
    <row r="81" spans="2:3" x14ac:dyDescent="0.45">
      <c r="B81" s="12"/>
      <c r="C81" t="s">
        <v>356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DuAn_HighVoltage_V3.1</vt:lpstr>
      <vt:lpstr>DuAn_HighVoltage_V3.1!Print_Titles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PV</cp:lastModifiedBy>
  <dcterms:created xsi:type="dcterms:W3CDTF">2026-04-08T18:47:26Z</dcterms:created>
  <dcterms:modified xsi:type="dcterms:W3CDTF">2026-04-08T19:20:11Z</dcterms:modified>
</cp:coreProperties>
</file>